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57aa5f0555baf8/Documents/Research/Advanced Material Rebar ^0 Structure for quake resistance/"/>
    </mc:Choice>
  </mc:AlternateContent>
  <xr:revisionPtr revIDLastSave="0" documentId="11_E035345D1A227F059849A1F773895661DC826C95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1" r:id="rId1"/>
    <sheet name="Architectural_Parameters" sheetId="2" r:id="rId2"/>
    <sheet name="Commercial_Feasibility" sheetId="3" r:id="rId3"/>
    <sheet name="Per_Unit_Inventory_Co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4" l="1"/>
  <c r="F7" i="4"/>
  <c r="F6" i="4"/>
  <c r="F5" i="4"/>
  <c r="F4" i="4"/>
  <c r="E8" i="3"/>
  <c r="D9" i="1" s="1"/>
  <c r="D8" i="3"/>
  <c r="E7" i="3"/>
  <c r="D8" i="1" s="1"/>
  <c r="D7" i="3"/>
  <c r="C8" i="1" s="1"/>
  <c r="E6" i="3"/>
  <c r="D7" i="1" s="1"/>
  <c r="D6" i="3"/>
  <c r="E5" i="3"/>
  <c r="D6" i="1" s="1"/>
  <c r="D5" i="3"/>
  <c r="C6" i="1" s="1"/>
  <c r="E4" i="3"/>
  <c r="D5" i="1" s="1"/>
  <c r="D10" i="1" s="1"/>
  <c r="D4" i="3"/>
  <c r="C5" i="1" s="1"/>
  <c r="C10" i="1" s="1"/>
  <c r="B10" i="1"/>
  <c r="E9" i="1"/>
  <c r="C9" i="1"/>
  <c r="B9" i="1"/>
  <c r="A9" i="1"/>
  <c r="E8" i="1"/>
  <c r="B8" i="1"/>
  <c r="A8" i="1"/>
  <c r="E7" i="1"/>
  <c r="C7" i="1"/>
  <c r="B7" i="1"/>
  <c r="A7" i="1"/>
  <c r="E6" i="1"/>
  <c r="B6" i="1"/>
  <c r="A6" i="1"/>
  <c r="E5" i="1"/>
  <c r="B5" i="1"/>
  <c r="A5" i="1"/>
</calcChain>
</file>

<file path=xl/sharedStrings.xml><?xml version="1.0" encoding="utf-8"?>
<sst xmlns="http://schemas.openxmlformats.org/spreadsheetml/2006/main" count="78" uniqueCount="64">
  <si>
    <t>EXECUTIVE BRIEFING: MULTI-SECTOR SEISMIC FRAMEWORK DISPATCH</t>
  </si>
  <si>
    <t>Cross-Sector Financial Synthesis</t>
  </si>
  <si>
    <t>Target Sector</t>
  </si>
  <si>
    <t>Upfront Cost Premium</t>
  </si>
  <si>
    <t>Net Present Value Delta</t>
  </si>
  <si>
    <t>Calculated CBR Score</t>
  </si>
  <si>
    <t>Implementation Readiness</t>
  </si>
  <si>
    <t>Consolidated Portfolio Total:</t>
  </si>
  <si>
    <t>Portfolio Overview</t>
  </si>
  <si>
    <t>Multi-Sector Structural Parameters &amp; Soil Adaptation Matrix</t>
  </si>
  <si>
    <t>Structural Sector Archetype</t>
  </si>
  <si>
    <t>Primary Load Profile</t>
  </si>
  <si>
    <t>Target Soil Condition</t>
  </si>
  <si>
    <t>Soil Density (g/cm³)</t>
  </si>
  <si>
    <t>Mesh Spacing (mm)</t>
  </si>
  <si>
    <t>Flared Footing Footprint (m²)</t>
  </si>
  <si>
    <t>Fe-SMA Deployment Strategy</t>
  </si>
  <si>
    <t>Max Richter Target</t>
  </si>
  <si>
    <t>High-Density Residential Towers</t>
  </si>
  <si>
    <t>Uniform Live Load / Low Floor Height</t>
  </si>
  <si>
    <t>Saturated Soft Silt</t>
  </si>
  <si>
    <t>Flush Beam-Column Junction Nodes</t>
  </si>
  <si>
    <t>Monolithic Sovereign Monument</t>
  </si>
  <si>
    <t>Massive Asymmetric Dead Load</t>
  </si>
  <si>
    <t>Medium Compact Sand</t>
  </si>
  <si>
    <t>3D Core Skeletal Tension Tripod</t>
  </si>
  <si>
    <t>Commercial Open-Span Complex</t>
  </si>
  <si>
    <t>Long Spans / Inter-story Lateral Drift</t>
  </si>
  <si>
    <t>Diagonal Unbonded Brace Frames</t>
  </si>
  <si>
    <t>Integrated Municipal Hubs</t>
  </si>
  <si>
    <t>Continuous Mission-Critical Operation</t>
  </si>
  <si>
    <t>Subterranean Base Isolation Springs</t>
  </si>
  <si>
    <t>Transportation Infrastructure</t>
  </si>
  <si>
    <t>High Dynamic Cyclic Moving Loads</t>
  </si>
  <si>
    <t>Variable Alluvial Silt</t>
  </si>
  <si>
    <t>Pier-to-Deck Superelastic Pins</t>
  </si>
  <si>
    <t>Commercial Readiness Level (CRL) &amp; Financial Feasibility Index</t>
  </si>
  <si>
    <t>Upfront CapEx Premium ($M)</t>
  </si>
  <si>
    <t>50-Yr PV Lifecycle Savings ($M)</t>
  </si>
  <si>
    <t>Net Present Value Delta ($M)</t>
  </si>
  <si>
    <t>Cost-Benefit Ratio (CBR)</t>
  </si>
  <si>
    <t>Current CRL Status</t>
  </si>
  <si>
    <t>Regulatory Implementation Bottleneck</t>
  </si>
  <si>
    <t>CRL 6 - Prototype Phase</t>
  </si>
  <si>
    <t>Municipal Multi-Family Zoning Amendments</t>
  </si>
  <si>
    <t>CRL 4 - Lab Scale Models</t>
  </si>
  <si>
    <t>National Heritage Engineering Approvals</t>
  </si>
  <si>
    <t>CRL 7 - Field Pilot Stage</t>
  </si>
  <si>
    <t>AISC Long-Span Fire-Seismic Harmonization</t>
  </si>
  <si>
    <t>CRL 8 - Code Compliance</t>
  </si>
  <si>
    <t>ASCE 7-22 Essential Facility Classifications</t>
  </si>
  <si>
    <t>CRL 5 - Component Validation</t>
  </si>
  <si>
    <t>Federal Transit Authority Bridge Drop Codes</t>
  </si>
  <si>
    <t>Granular Inventory Unit Cost Allocation Model</t>
  </si>
  <si>
    <t>Functional Allocation Unit</t>
  </si>
  <si>
    <t>Base Build Cost / Unit</t>
  </si>
  <si>
    <t>Mesh &amp; Flare Premium / Unit</t>
  </si>
  <si>
    <t>Fe-SMA Forging Premium / Unit</t>
  </si>
  <si>
    <t>Total Premiumized Unit Inventory Cost</t>
  </si>
  <si>
    <t>Per Livable Apartment Unit</t>
  </si>
  <si>
    <t>Per Vertical Core Meter</t>
  </si>
  <si>
    <t>Per Gross Square Meter (GSM)</t>
  </si>
  <si>
    <t>Per Operational Critical Hub Bed/Bay</t>
  </si>
  <si>
    <t>Per Kilometer of Mainline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</si>
</sst>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\$#,##0.0"/>
    <numFmt numFmtId="167" formatCode="\$#,##0"/>
    <numFmt numFmtId="168" formatCode="\$#,##0.0&quot;M&quot;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1"/>
      <color rgb="FFFFFFFF"/>
      <name val="Segoe UI"/>
    </font>
    <font>
      <sz val="11"/>
      <color rgb="FF000000"/>
      <name val="Segoe UI"/>
    </font>
    <font>
      <b/>
      <sz val="11"/>
      <color rgb="FF000000"/>
      <name val="Segoe UI"/>
    </font>
    <font>
      <b/>
      <sz val="12"/>
      <color rgb="FF000000"/>
      <name val="Segoe UI"/>
    </font>
    <font>
      <i/>
      <sz val="9"/>
      <color rgb="FF59595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DE9D9"/>
        <bgColor rgb="FFFDE9D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97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8" fontId="3" fillId="0" borderId="2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68" fontId="4" fillId="0" borderId="3" xfId="0" applyNumberFormat="1" applyFont="1" applyBorder="1" applyAlignment="1">
      <alignment horizontal="right" vertical="center"/>
    </xf>
    <xf numFmtId="2" fontId="4" fillId="3" borderId="3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3" sqref="E13"/>
    </sheetView>
  </sheetViews>
  <sheetFormatPr defaultRowHeight="15" x14ac:dyDescent="0.25"/>
  <cols>
    <col min="1" max="1" width="36" customWidth="1"/>
    <col min="2" max="5" width="30" customWidth="1"/>
  </cols>
  <sheetData>
    <row r="1" spans="1:5" ht="35.1" customHeight="1" x14ac:dyDescent="0.5">
      <c r="A1" s="1" t="s">
        <v>0</v>
      </c>
    </row>
    <row r="3" spans="1:5" ht="17.25" x14ac:dyDescent="0.3">
      <c r="A3" s="2" t="s">
        <v>1</v>
      </c>
    </row>
    <row r="4" spans="1:5" ht="26.1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95" customHeight="1" x14ac:dyDescent="0.25">
      <c r="A5" s="4" t="str">
        <f>Architectural_Parameters!A4</f>
        <v>High-Density Residential Towers</v>
      </c>
      <c r="B5" s="5">
        <f>Commercial_Feasibility!B4</f>
        <v>12.7</v>
      </c>
      <c r="C5" s="5">
        <f>Commercial_Feasibility!D4</f>
        <v>88.2</v>
      </c>
      <c r="D5" s="6">
        <f>Commercial_Feasibility!E4</f>
        <v>7.9448818897637805</v>
      </c>
      <c r="E5" s="7" t="str">
        <f>Commercial_Feasibility!F4</f>
        <v>CRL 6 - Prototype Phase</v>
      </c>
    </row>
    <row r="6" spans="1:5" ht="21.95" customHeight="1" x14ac:dyDescent="0.25">
      <c r="A6" s="4" t="str">
        <f>Architectural_Parameters!A5</f>
        <v>Monolithic Sovereign Monument</v>
      </c>
      <c r="B6" s="5">
        <f>Commercial_Feasibility!B5</f>
        <v>8.1999999999999993</v>
      </c>
      <c r="C6" s="5">
        <f>Commercial_Feasibility!D5</f>
        <v>37.099999999999994</v>
      </c>
      <c r="D6" s="6">
        <f>Commercial_Feasibility!E5</f>
        <v>5.524390243902439</v>
      </c>
      <c r="E6" s="7" t="str">
        <f>Commercial_Feasibility!F5</f>
        <v>CRL 4 - Lab Scale Models</v>
      </c>
    </row>
    <row r="7" spans="1:5" ht="21.95" customHeight="1" x14ac:dyDescent="0.25">
      <c r="A7" s="4" t="str">
        <f>Architectural_Parameters!A6</f>
        <v>Commercial Open-Span Complex</v>
      </c>
      <c r="B7" s="5">
        <f>Commercial_Feasibility!B6</f>
        <v>15.4</v>
      </c>
      <c r="C7" s="5">
        <f>Commercial_Feasibility!D6</f>
        <v>96.699999999999989</v>
      </c>
      <c r="D7" s="6">
        <f>Commercial_Feasibility!E6</f>
        <v>7.279220779220779</v>
      </c>
      <c r="E7" s="7" t="str">
        <f>Commercial_Feasibility!F6</f>
        <v>CRL 7 - Field Pilot Stage</v>
      </c>
    </row>
    <row r="8" spans="1:5" ht="21.95" customHeight="1" x14ac:dyDescent="0.25">
      <c r="A8" s="4" t="str">
        <f>Architectural_Parameters!A7</f>
        <v>Integrated Municipal Hubs</v>
      </c>
      <c r="B8" s="5">
        <f>Commercial_Feasibility!B7</f>
        <v>19.100000000000001</v>
      </c>
      <c r="C8" s="5">
        <f>Commercial_Feasibility!D7</f>
        <v>149.30000000000001</v>
      </c>
      <c r="D8" s="6">
        <f>Commercial_Feasibility!E7</f>
        <v>8.8167539267015709</v>
      </c>
      <c r="E8" s="7" t="str">
        <f>Commercial_Feasibility!F7</f>
        <v>CRL 8 - Code Compliance</v>
      </c>
    </row>
    <row r="9" spans="1:5" ht="21.95" customHeight="1" x14ac:dyDescent="0.25">
      <c r="A9" s="4" t="str">
        <f>Architectural_Parameters!A8</f>
        <v>Transportation Infrastructure</v>
      </c>
      <c r="B9" s="5">
        <f>Commercial_Feasibility!B8</f>
        <v>24.5</v>
      </c>
      <c r="C9" s="5">
        <f>Commercial_Feasibility!D8</f>
        <v>186.3</v>
      </c>
      <c r="D9" s="6">
        <f>Commercial_Feasibility!E8</f>
        <v>8.6040816326530614</v>
      </c>
      <c r="E9" s="7" t="str">
        <f>Commercial_Feasibility!F8</f>
        <v>CRL 5 - Component Validation</v>
      </c>
    </row>
    <row r="10" spans="1:5" ht="24" customHeight="1" x14ac:dyDescent="0.25">
      <c r="A10" s="8" t="s">
        <v>7</v>
      </c>
      <c r="B10" s="9">
        <f>SUM(B5:B9)</f>
        <v>79.900000000000006</v>
      </c>
      <c r="C10" s="9">
        <f>SUM(C5:C9)</f>
        <v>557.6</v>
      </c>
      <c r="D10" s="10">
        <f>AVERAGE(D5:D9)</f>
        <v>7.6338656944483265</v>
      </c>
      <c r="E10" s="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 x14ac:dyDescent="0.25"/>
  <cols>
    <col min="1" max="1" width="35" customWidth="1"/>
    <col min="2" max="2" width="42" customWidth="1"/>
    <col min="3" max="3" width="26" customWidth="1"/>
    <col min="4" max="4" width="24" customWidth="1"/>
    <col min="5" max="5" width="21" customWidth="1"/>
    <col min="6" max="6" width="33" customWidth="1"/>
    <col min="7" max="7" width="39" customWidth="1"/>
    <col min="8" max="8" width="22" customWidth="1"/>
  </cols>
  <sheetData>
    <row r="1" spans="1:8" ht="30" customHeight="1" x14ac:dyDescent="0.5">
      <c r="A1" s="1" t="s">
        <v>9</v>
      </c>
    </row>
    <row r="3" spans="1:8" ht="26.1" customHeigh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</row>
    <row r="4" spans="1:8" ht="21.95" customHeight="1" x14ac:dyDescent="0.25">
      <c r="A4" s="4" t="s">
        <v>18</v>
      </c>
      <c r="B4" s="4" t="s">
        <v>19</v>
      </c>
      <c r="C4" s="7" t="s">
        <v>20</v>
      </c>
      <c r="D4" s="6">
        <v>1.45</v>
      </c>
      <c r="E4" s="12">
        <v>100.3</v>
      </c>
      <c r="F4" s="12">
        <v>63.6</v>
      </c>
      <c r="G4" s="4" t="s">
        <v>21</v>
      </c>
      <c r="H4" s="13">
        <v>9.5</v>
      </c>
    </row>
    <row r="5" spans="1:8" ht="21.95" customHeight="1" x14ac:dyDescent="0.25">
      <c r="A5" s="4" t="s">
        <v>22</v>
      </c>
      <c r="B5" s="4" t="s">
        <v>23</v>
      </c>
      <c r="C5" s="7" t="s">
        <v>24</v>
      </c>
      <c r="D5" s="6">
        <v>1.85</v>
      </c>
      <c r="E5" s="12">
        <v>120.7</v>
      </c>
      <c r="F5" s="12">
        <v>28.3</v>
      </c>
      <c r="G5" s="4" t="s">
        <v>25</v>
      </c>
      <c r="H5" s="13">
        <v>9.5</v>
      </c>
    </row>
    <row r="6" spans="1:8" ht="21.95" customHeight="1" x14ac:dyDescent="0.25">
      <c r="A6" s="4" t="s">
        <v>26</v>
      </c>
      <c r="B6" s="4" t="s">
        <v>27</v>
      </c>
      <c r="C6" s="7" t="s">
        <v>20</v>
      </c>
      <c r="D6" s="6">
        <v>1.45</v>
      </c>
      <c r="E6" s="12">
        <v>100.3</v>
      </c>
      <c r="F6" s="12">
        <v>63.6</v>
      </c>
      <c r="G6" s="4" t="s">
        <v>28</v>
      </c>
      <c r="H6" s="13">
        <v>9.5</v>
      </c>
    </row>
    <row r="7" spans="1:8" ht="21.95" customHeight="1" x14ac:dyDescent="0.25">
      <c r="A7" s="4" t="s">
        <v>29</v>
      </c>
      <c r="B7" s="4" t="s">
        <v>30</v>
      </c>
      <c r="C7" s="7" t="s">
        <v>24</v>
      </c>
      <c r="D7" s="6">
        <v>1.85</v>
      </c>
      <c r="E7" s="12">
        <v>120.7</v>
      </c>
      <c r="F7" s="12">
        <v>28.3</v>
      </c>
      <c r="G7" s="4" t="s">
        <v>31</v>
      </c>
      <c r="H7" s="13">
        <v>9.5</v>
      </c>
    </row>
    <row r="8" spans="1:8" ht="21.95" customHeight="1" x14ac:dyDescent="0.25">
      <c r="A8" s="4" t="s">
        <v>32</v>
      </c>
      <c r="B8" s="4" t="s">
        <v>33</v>
      </c>
      <c r="C8" s="7" t="s">
        <v>34</v>
      </c>
      <c r="D8" s="6">
        <v>1.5</v>
      </c>
      <c r="E8" s="12">
        <v>103.1</v>
      </c>
      <c r="F8" s="12">
        <v>57.3</v>
      </c>
      <c r="G8" s="4" t="s">
        <v>35</v>
      </c>
      <c r="H8" s="13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>
      <selection activeCell="D8" sqref="D8"/>
    </sheetView>
  </sheetViews>
  <sheetFormatPr defaultRowHeight="15" x14ac:dyDescent="0.25"/>
  <cols>
    <col min="1" max="1" width="35" customWidth="1"/>
    <col min="2" max="2" width="30" customWidth="1"/>
    <col min="3" max="3" width="35" customWidth="1"/>
    <col min="4" max="4" width="32" customWidth="1"/>
    <col min="5" max="5" width="28" customWidth="1"/>
    <col min="6" max="6" width="32" customWidth="1"/>
    <col min="7" max="7" width="48" customWidth="1"/>
  </cols>
  <sheetData>
    <row r="1" spans="1:7" ht="30" customHeight="1" x14ac:dyDescent="0.5">
      <c r="A1" s="1" t="s">
        <v>36</v>
      </c>
    </row>
    <row r="3" spans="1:7" ht="26.1" customHeight="1" x14ac:dyDescent="0.25">
      <c r="A3" s="3" t="s">
        <v>10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</row>
    <row r="4" spans="1:7" ht="21.95" customHeight="1" x14ac:dyDescent="0.25">
      <c r="A4" s="4" t="s">
        <v>18</v>
      </c>
      <c r="B4" s="14">
        <v>12.7</v>
      </c>
      <c r="C4" s="14">
        <v>100.9</v>
      </c>
      <c r="D4" s="14">
        <f>C4-B4</f>
        <v>88.2</v>
      </c>
      <c r="E4" s="15">
        <f>C4/B4</f>
        <v>7.9448818897637805</v>
      </c>
      <c r="F4" s="16" t="s">
        <v>43</v>
      </c>
      <c r="G4" s="4" t="s">
        <v>44</v>
      </c>
    </row>
    <row r="5" spans="1:7" ht="21.95" customHeight="1" x14ac:dyDescent="0.25">
      <c r="A5" s="4" t="s">
        <v>22</v>
      </c>
      <c r="B5" s="14">
        <v>8.1999999999999993</v>
      </c>
      <c r="C5" s="14">
        <v>45.3</v>
      </c>
      <c r="D5" s="14">
        <f>C5-B5</f>
        <v>37.099999999999994</v>
      </c>
      <c r="E5" s="15">
        <f>C5/B5</f>
        <v>5.524390243902439</v>
      </c>
      <c r="F5" s="16" t="s">
        <v>45</v>
      </c>
      <c r="G5" s="4" t="s">
        <v>46</v>
      </c>
    </row>
    <row r="6" spans="1:7" ht="21.95" customHeight="1" x14ac:dyDescent="0.25">
      <c r="A6" s="4" t="s">
        <v>26</v>
      </c>
      <c r="B6" s="14">
        <v>15.4</v>
      </c>
      <c r="C6" s="14">
        <v>112.1</v>
      </c>
      <c r="D6" s="14">
        <f>C6-B6</f>
        <v>96.699999999999989</v>
      </c>
      <c r="E6" s="15">
        <f>C6/B6</f>
        <v>7.279220779220779</v>
      </c>
      <c r="F6" s="16" t="s">
        <v>47</v>
      </c>
      <c r="G6" s="4" t="s">
        <v>48</v>
      </c>
    </row>
    <row r="7" spans="1:7" ht="21.95" customHeight="1" x14ac:dyDescent="0.25">
      <c r="A7" s="4" t="s">
        <v>29</v>
      </c>
      <c r="B7" s="14">
        <v>19.100000000000001</v>
      </c>
      <c r="C7" s="14">
        <v>168.4</v>
      </c>
      <c r="D7" s="14">
        <f>C7-B7</f>
        <v>149.30000000000001</v>
      </c>
      <c r="E7" s="15">
        <f>C7/B7</f>
        <v>8.8167539267015709</v>
      </c>
      <c r="F7" s="16" t="s">
        <v>49</v>
      </c>
      <c r="G7" s="4" t="s">
        <v>50</v>
      </c>
    </row>
    <row r="8" spans="1:7" ht="21.95" customHeight="1" x14ac:dyDescent="0.25">
      <c r="A8" s="4" t="s">
        <v>32</v>
      </c>
      <c r="B8" s="14">
        <v>24.5</v>
      </c>
      <c r="C8" s="14">
        <v>210.8</v>
      </c>
      <c r="D8" s="14">
        <f>C8-B8</f>
        <v>186.3</v>
      </c>
      <c r="E8" s="15">
        <f>C8/B8</f>
        <v>8.6040816326530614</v>
      </c>
      <c r="F8" s="16" t="s">
        <v>51</v>
      </c>
      <c r="G8" s="4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F4" sqref="F4"/>
    </sheetView>
  </sheetViews>
  <sheetFormatPr defaultRowHeight="15" x14ac:dyDescent="0.25"/>
  <cols>
    <col min="1" max="1" width="35" customWidth="1"/>
    <col min="2" max="2" width="40" customWidth="1"/>
    <col min="3" max="3" width="26" customWidth="1"/>
    <col min="4" max="4" width="31" customWidth="1"/>
    <col min="5" max="5" width="33" customWidth="1"/>
    <col min="6" max="6" width="41" customWidth="1"/>
  </cols>
  <sheetData>
    <row r="1" spans="1:6" ht="30" customHeight="1" x14ac:dyDescent="0.5">
      <c r="A1" s="1" t="s">
        <v>53</v>
      </c>
    </row>
    <row r="3" spans="1:6" ht="26.1" customHeight="1" x14ac:dyDescent="0.25">
      <c r="A3" s="3" t="s">
        <v>10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</row>
    <row r="4" spans="1:6" ht="21.95" customHeight="1" x14ac:dyDescent="0.25">
      <c r="A4" s="4" t="s">
        <v>18</v>
      </c>
      <c r="B4" s="7" t="s">
        <v>59</v>
      </c>
      <c r="C4" s="17">
        <v>180000</v>
      </c>
      <c r="D4" s="17">
        <v>4200</v>
      </c>
      <c r="E4" s="17">
        <v>8500</v>
      </c>
      <c r="F4" s="18">
        <f>C4+D4+E4</f>
        <v>192700</v>
      </c>
    </row>
    <row r="5" spans="1:6" ht="21.95" customHeight="1" x14ac:dyDescent="0.25">
      <c r="A5" s="4" t="s">
        <v>22</v>
      </c>
      <c r="B5" s="7" t="s">
        <v>60</v>
      </c>
      <c r="C5" s="17">
        <v>450000</v>
      </c>
      <c r="D5" s="17">
        <v>12500</v>
      </c>
      <c r="E5" s="17">
        <v>32000</v>
      </c>
      <c r="F5" s="18">
        <f>C5+D5+E5</f>
        <v>494500</v>
      </c>
    </row>
    <row r="6" spans="1:6" ht="21.95" customHeight="1" x14ac:dyDescent="0.25">
      <c r="A6" s="4" t="s">
        <v>26</v>
      </c>
      <c r="B6" s="7" t="s">
        <v>61</v>
      </c>
      <c r="C6" s="17">
        <v>2200</v>
      </c>
      <c r="D6" s="17">
        <v>140</v>
      </c>
      <c r="E6" s="17">
        <v>290</v>
      </c>
      <c r="F6" s="18">
        <f>C6+D6+E6</f>
        <v>2630</v>
      </c>
    </row>
    <row r="7" spans="1:6" ht="21.95" customHeight="1" x14ac:dyDescent="0.25">
      <c r="A7" s="4" t="s">
        <v>29</v>
      </c>
      <c r="B7" s="7" t="s">
        <v>62</v>
      </c>
      <c r="C7" s="17">
        <v>320000</v>
      </c>
      <c r="D7" s="17">
        <v>9200</v>
      </c>
      <c r="E7" s="17">
        <v>18500</v>
      </c>
      <c r="F7" s="18">
        <f>C7+D7+E7</f>
        <v>347700</v>
      </c>
    </row>
    <row r="8" spans="1:6" ht="21.95" customHeight="1" x14ac:dyDescent="0.25">
      <c r="A8" s="4" t="s">
        <v>32</v>
      </c>
      <c r="B8" s="7" t="s">
        <v>63</v>
      </c>
      <c r="C8" s="17">
        <v>12000000</v>
      </c>
      <c r="D8" s="17">
        <v>340000</v>
      </c>
      <c r="E8" s="17">
        <v>780000</v>
      </c>
      <c r="F8" s="18">
        <f>C8+D8+E8</f>
        <v>13120000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Architectural_Parameters</vt:lpstr>
      <vt:lpstr>Commercial_Feasibility</vt:lpstr>
      <vt:lpstr>Per_Unit_Inventory_Costs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Singh</cp:lastModifiedBy>
  <dcterms:created xsi:type="dcterms:W3CDTF">2026-07-11T08:54:40Z</dcterms:created>
  <dcterms:modified xsi:type="dcterms:W3CDTF">2026-07-11T09:04:13Z</dcterms:modified>
</cp:coreProperties>
</file>